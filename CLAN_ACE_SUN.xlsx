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hidden" name="Account" sheetId="2" r:id="rId6"/>
  </sheets>
  <definedNames/>
  <calcPr/>
</workbook>
</file>

<file path=xl/sharedStrings.xml><?xml version="1.0" encoding="utf-8"?>
<sst xmlns="http://schemas.openxmlformats.org/spreadsheetml/2006/main" count="139" uniqueCount="105">
  <si>
    <t>QUẢN LÝ CLAN PUBG MOBILE 『ACE SUN』</t>
  </si>
  <si>
    <t>TỔNG THÀNH VIÊN</t>
  </si>
  <si>
    <t>BAN QUẢN TRỊ</t>
  </si>
  <si>
    <t>THÀNH VIÊN CHÍNH THỨC</t>
  </si>
  <si>
    <t>TỔNG THU QUỸ CLAN</t>
  </si>
  <si>
    <t>STT</t>
  </si>
  <si>
    <t>Tên Ingame</t>
  </si>
  <si>
    <t>ID game</t>
  </si>
  <si>
    <t>Tên Facebook</t>
  </si>
  <si>
    <t>Chức vụ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</si>
  <si>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</si>
  <si>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</si>
  <si>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</si>
  <si>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</si>
  <si>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</si>
  <si>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</si>
  <si>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</si>
  <si>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</si>
  <si>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</si>
  <si>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</si>
  <si>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</si>
  <si>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</si>
  <si>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Ủng hộ clan</t>
  </si>
  <si>
    <t>Tiền phạt</t>
  </si>
  <si>
    <t>TTV</t>
  </si>
  <si>
    <t>Tổng đóng góp</t>
  </si>
  <si>
    <t>『ACE』TỷTỷ</t>
  </si>
  <si>
    <t>5230497134</t>
  </si>
  <si>
    <t>Leader</t>
  </si>
  <si>
    <t>『ACE』Meoww</t>
  </si>
  <si>
    <t>52358522870</t>
  </si>
  <si>
    <t>Co-Leader</t>
  </si>
  <si>
    <t>『ACE』NHỊCA</t>
  </si>
  <si>
    <t>52196886794</t>
  </si>
  <si>
    <t>『ACE』NoLove</t>
  </si>
  <si>
    <t>51815258818</t>
  </si>
  <si>
    <t>QTV</t>
  </si>
  <si>
    <t>『ACE』Mieebae</t>
  </si>
  <si>
    <t>52271318312</t>
  </si>
  <si>
    <t>『ACE』M͜͡ei</t>
  </si>
  <si>
    <t>5581564462</t>
  </si>
  <si>
    <t>『ACE』Tommm</t>
  </si>
  <si>
    <t>5918051962</t>
  </si>
  <si>
    <t>『ACE』Đức</t>
  </si>
  <si>
    <t>5589165643</t>
  </si>
  <si>
    <t>Thành viên</t>
  </si>
  <si>
    <t>『ACE』APPLE</t>
  </si>
  <si>
    <t>534836581</t>
  </si>
  <si>
    <t>『ACE』BịpHD</t>
  </si>
  <si>
    <t>5319868255</t>
  </si>
  <si>
    <t>『ACE』NamX</t>
  </si>
  <si>
    <t>52487300220</t>
  </si>
  <si>
    <t>『ACE』Boy2k</t>
  </si>
  <si>
    <t>51250403082</t>
  </si>
  <si>
    <t>『ACE』TRUNG</t>
  </si>
  <si>
    <t>51598441586</t>
  </si>
  <si>
    <t>『ACE』LyTệ</t>
  </si>
  <si>
    <t>51749681563</t>
  </si>
  <si>
    <t>『ACE』Tấn</t>
  </si>
  <si>
    <t>52190311929</t>
  </si>
  <si>
    <t>『ACE』Phước</t>
  </si>
  <si>
    <t>523542180</t>
  </si>
  <si>
    <t>『ACE』Chiếnn</t>
  </si>
  <si>
    <t>51835802837</t>
  </si>
  <si>
    <t>『ACE』M</t>
  </si>
  <si>
    <t>51615564094</t>
  </si>
  <si>
    <t>『ACE』Cặkc</t>
  </si>
  <si>
    <t>5695497147</t>
  </si>
  <si>
    <t>『ACE』HùnGメ</t>
  </si>
  <si>
    <t>5379157948</t>
  </si>
  <si>
    <t>『ACE』BéBụt</t>
  </si>
  <si>
    <t>5371833539</t>
  </si>
  <si>
    <t>『ACE』BinJp</t>
  </si>
  <si>
    <t>568217293</t>
  </si>
  <si>
    <t>『ACE』Títs</t>
  </si>
  <si>
    <t>『ACE』Ｈades</t>
  </si>
  <si>
    <t>51000877946</t>
  </si>
  <si>
    <t>『ACE』RedBull</t>
  </si>
  <si>
    <t>52190908525</t>
  </si>
  <si>
    <t>『ACE』Kaka</t>
  </si>
  <si>
    <t>52021780008</t>
  </si>
  <si>
    <t>『ACE』Sunny</t>
  </si>
  <si>
    <t>51644034698</t>
  </si>
  <si>
    <t>Sunny Nguyễn</t>
  </si>
  <si>
    <t>『ACE』Abé</t>
  </si>
  <si>
    <t>51536118554</t>
  </si>
  <si>
    <t>『ACE』SerTuss</t>
  </si>
  <si>
    <t>5866689156</t>
  </si>
  <si>
    <t>『ACE』Lionel</t>
  </si>
  <si>
    <t>5827588501</t>
  </si>
  <si>
    <t>『ACE』Bun's</t>
  </si>
  <si>
    <t>5637462602</t>
  </si>
  <si>
    <t>『ACE』Ni</t>
  </si>
  <si>
    <t>5626253136</t>
  </si>
  <si>
    <t>『ACE』LinhBS</t>
  </si>
  <si>
    <t>5613437585</t>
  </si>
  <si>
    <t>『ACE』ChanVit</t>
  </si>
  <si>
    <t>5503237916</t>
  </si>
  <si>
    <t>『ACE』Joker</t>
  </si>
  <si>
    <t>5436766943</t>
  </si>
  <si>
    <t>『ACE』Qui</t>
  </si>
  <si>
    <t>5224450168</t>
  </si>
  <si>
    <t>『ACE』๖Thảo</t>
  </si>
  <si>
    <t>52460994866</t>
  </si>
  <si>
    <t>TỔNG CỘNG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</si>
</sst>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 đ&quot;"/>
    <numFmt numFmtId="165" formatCode="#,##0 &quot;đ&quot;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rgb="FFFFFFFF"/>
      <name val="Roboto"/>
    </font>
    <font>
      <b/>
      <sz val="9.0"/>
      <color rgb="FF6C3906"/>
      <name val="Roboto"/>
    </font>
    <font/>
    <font>
      <b/>
      <sz val="18.0"/>
      <color rgb="FF87511E"/>
      <name val="Roboto"/>
    </font>
    <font>
      <b/>
      <sz val="10.0"/>
      <color rgb="FFFFFFFF"/>
      <name val="Roboto"/>
    </font>
    <font>
      <sz val="10.0"/>
      <color theme="1"/>
      <name val="Roboto"/>
    </font>
    <font>
      <b/>
      <sz val="10.0"/>
      <color rgb="FF211A14"/>
      <name val="Roboto"/>
    </font>
    <font>
      <b/>
      <sz val="10.0"/>
      <color rgb="FF333333"/>
      <name val="Roboto"/>
    </font>
    <font>
      <u/>
      <sz val="10.0"/>
      <color rgb="FF333333"/>
      <name val="Roboto"/>
    </font>
    <font>
      <b/>
      <sz val="10.0"/>
      <color rgb="FF87511E"/>
      <name val="Roboto"/>
    </font>
    <font>
      <u/>
      <sz val="10.0"/>
      <color rgb="FF333333"/>
      <name val="Roboto"/>
    </font>
    <font>
      <sz val="10.0"/>
      <color rgb="FF333333"/>
      <name val="Roboto"/>
    </font>
    <font>
      <b/>
      <sz val="10.0"/>
      <color rgb="FF6C3906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87511E"/>
        <bgColor rgb="FF87511E"/>
      </patternFill>
    </fill>
    <fill>
      <patternFill patternType="solid">
        <fgColor rgb="FFFFFFFF"/>
        <bgColor rgb="FFFFFFFF"/>
      </patternFill>
    </fill>
    <fill>
      <patternFill patternType="solid">
        <fgColor rgb="FFFAEBE0"/>
        <bgColor rgb="FFFAEBE0"/>
      </patternFill>
    </fill>
    <fill>
      <patternFill patternType="solid">
        <fgColor rgb="FFFFF8F5"/>
        <bgColor rgb="FFFFF8F5"/>
      </patternFill>
    </fill>
  </fills>
  <borders count="17">
    <border/>
    <border>
      <left style="thin">
        <color rgb="FF847469"/>
      </left>
      <top style="thin">
        <color rgb="FF847469"/>
      </top>
    </border>
    <border>
      <top style="thin">
        <color rgb="FF847469"/>
      </top>
    </border>
    <border>
      <right style="thin">
        <color rgb="FF847469"/>
      </right>
      <top style="thin">
        <color rgb="FF847469"/>
      </top>
    </border>
    <border>
      <left style="thin">
        <color rgb="FF847469"/>
      </left>
    </border>
    <border>
      <right style="thin">
        <color rgb="FF847469"/>
      </right>
    </border>
    <border>
      <left style="thin">
        <color rgb="FF847469"/>
      </left>
      <bottom style="thin">
        <color rgb="FF847469"/>
      </bottom>
    </border>
    <border>
      <bottom style="thin">
        <color rgb="FF847469"/>
      </bottom>
    </border>
    <border>
      <right style="thin">
        <color rgb="FF847469"/>
      </right>
      <bottom style="thin">
        <color rgb="FF847469"/>
      </bottom>
    </border>
    <border>
      <left style="thin">
        <color rgb="FF847469"/>
      </left>
      <bottom style="thin">
        <color rgb="FFE5E0DB"/>
      </bottom>
    </border>
    <border>
      <bottom style="thin">
        <color rgb="FFE5E0DB"/>
      </bottom>
    </border>
    <border>
      <right style="thin">
        <color rgb="FF847469"/>
      </right>
      <bottom style="thin">
        <color rgb="FFE5E0DB"/>
      </bottom>
    </border>
    <border>
      <left style="thin">
        <color rgb="FF847469"/>
      </left>
      <top style="thin">
        <color rgb="FFE5E0DB"/>
      </top>
      <bottom style="thin">
        <color rgb="FFE5E0DB"/>
      </bottom>
    </border>
    <border>
      <top style="thin">
        <color rgb="FFE5E0DB"/>
      </top>
      <bottom style="thin">
        <color rgb="FFE5E0DB"/>
      </bottom>
    </border>
    <border>
      <right style="thin">
        <color rgb="FF847469"/>
      </right>
      <top style="thin">
        <color rgb="FFE5E0DB"/>
      </top>
      <bottom style="thin">
        <color rgb="FFE5E0DB"/>
      </bottom>
    </border>
    <border>
      <top style="thin">
        <color rgb="FF847469"/>
      </top>
      <bottom style="double">
        <color rgb="FF847469"/>
      </bottom>
    </border>
    <border>
      <right style="thin">
        <color rgb="FF847469"/>
      </right>
      <top style="thin">
        <color rgb="FF847469"/>
      </top>
      <bottom style="double">
        <color rgb="FF847469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2" fontId="2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3" fontId="3" numFmtId="0" xfId="0" applyAlignment="1" applyFill="1" applyFont="1">
      <alignment horizontal="center" readingOrder="0" vertical="center"/>
    </xf>
    <xf borderId="4" fillId="4" fontId="5" numFmtId="3" xfId="0" applyAlignment="1" applyBorder="1" applyFill="1" applyFont="1" applyNumberFormat="1">
      <alignment horizontal="center" vertical="center"/>
    </xf>
    <xf borderId="5" fillId="0" fontId="4" numFmtId="0" xfId="0" applyBorder="1" applyFont="1"/>
    <xf borderId="4" fillId="4" fontId="5" numFmtId="164" xfId="0" applyAlignment="1" applyBorder="1" applyFill="1" applyFont="1" applyNumberFormat="1">
      <alignment horizontal="center" vertical="center"/>
    </xf>
    <xf borderId="0" fillId="3" fontId="5" numFmtId="164" xfId="0" applyAlignment="1" applyFill="1" applyFont="1" applyNumberForma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2" fontId="6" numFmtId="0" xfId="0" applyAlignment="1" applyBorder="1" applyFill="1" applyFont="1">
      <alignment horizontal="center" vertical="center"/>
    </xf>
    <xf borderId="10" fillId="2" fontId="6" numFmtId="0" xfId="0" applyAlignment="1" applyBorder="1" applyFill="1" applyFont="1">
      <alignment horizontal="left" vertical="center"/>
    </xf>
    <xf borderId="10" fillId="2" fontId="6" numFmtId="0" xfId="0" applyAlignment="1" applyBorder="1" applyFill="1" applyFont="1">
      <alignment horizontal="center" readingOrder="0" vertical="center"/>
    </xf>
    <xf borderId="10" fillId="2" fontId="6" numFmtId="0" xfId="0" applyAlignment="1" applyBorder="1" applyFill="1" applyFont="1">
      <alignment horizontal="center" vertical="center"/>
    </xf>
    <xf borderId="10" fillId="2" fontId="6" numFmtId="0" xfId="0" applyAlignment="1" applyBorder="1" applyFill="1" applyFont="1">
      <alignment horizontal="center" readingOrder="0" vertical="center"/>
    </xf>
    <xf borderId="11" fillId="2" fontId="6" numFmtId="0" xfId="0" applyAlignment="1" applyBorder="1" applyFill="1" applyFont="1">
      <alignment horizontal="right" readingOrder="0" vertical="center"/>
    </xf>
    <xf borderId="12" fillId="3" fontId="7" numFmtId="0" xfId="0" applyAlignment="1" applyBorder="1" applyFill="1" applyFont="1">
      <alignment horizontal="center" readingOrder="0" vertical="center"/>
    </xf>
    <xf borderId="13" fillId="3" fontId="8" numFmtId="0" xfId="0" applyAlignment="1" applyBorder="1" applyFill="1" applyFont="1">
      <alignment horizontal="left" readingOrder="0" vertical="center"/>
    </xf>
    <xf borderId="13" fillId="3" fontId="9" numFmtId="49" xfId="0" applyAlignment="1" applyBorder="1" applyFill="1" applyFont="1" applyNumberFormat="1">
      <alignment horizontal="center" readingOrder="0" vertical="center"/>
    </xf>
    <xf borderId="13" fillId="3" fontId="10" numFmtId="0" xfId="0" applyAlignment="1" applyBorder="1" applyFill="1" applyFont="1">
      <alignment horizontal="left" readingOrder="0" vertical="center"/>
    </xf>
    <xf borderId="13" fillId="3" fontId="1" numFmtId="0" xfId="0" applyAlignment="1" applyBorder="1" applyFill="1" applyFont="1">
      <alignment horizontal="center" readingOrder="0" vertical="center"/>
    </xf>
    <xf borderId="13" fillId="3" fontId="7" numFmtId="164" xfId="0" applyAlignment="1" applyBorder="1" applyFill="1" applyFont="1" applyNumberFormat="1">
      <alignment horizontal="right" vertical="center"/>
    </xf>
    <xf borderId="13" fillId="0" fontId="7" numFmtId="164" xfId="0" applyAlignment="1" applyBorder="1" applyFont="1" applyNumberFormat="1">
      <alignment horizontal="right" vertical="center"/>
    </xf>
    <xf borderId="13" fillId="0" fontId="7" numFmtId="165" xfId="0" applyAlignment="1" applyBorder="1" applyFont="1" applyNumberFormat="1">
      <alignment horizontal="right" readingOrder="0" vertical="center"/>
    </xf>
    <xf borderId="13" fillId="0" fontId="7" numFmtId="3" xfId="0" applyAlignment="1" applyBorder="1" applyFont="1" applyNumberFormat="1">
      <alignment horizontal="center" readingOrder="0" vertical="center"/>
    </xf>
    <xf borderId="14" fillId="0" fontId="11" numFmtId="164" xfId="0" applyAlignment="1" applyBorder="1" applyFont="1" applyNumberFormat="1">
      <alignment horizontal="right" vertical="center"/>
    </xf>
    <xf borderId="12" fillId="5" fontId="7" numFmtId="0" xfId="0" applyAlignment="1" applyBorder="1" applyFill="1" applyFont="1">
      <alignment horizontal="center" readingOrder="0" vertical="center"/>
    </xf>
    <xf borderId="13" fillId="5" fontId="8" numFmtId="0" xfId="0" applyAlignment="1" applyBorder="1" applyFill="1" applyFont="1">
      <alignment horizontal="left" readingOrder="0" vertical="center"/>
    </xf>
    <xf borderId="13" fillId="5" fontId="9" numFmtId="49" xfId="0" applyAlignment="1" applyBorder="1" applyFill="1" applyFont="1" applyNumberFormat="1">
      <alignment horizontal="center" readingOrder="0" vertical="center"/>
    </xf>
    <xf borderId="13" fillId="5" fontId="12" numFmtId="0" xfId="0" applyAlignment="1" applyBorder="1" applyFill="1" applyFont="1">
      <alignment horizontal="left" readingOrder="0" vertical="center"/>
    </xf>
    <xf borderId="13" fillId="5" fontId="1" numFmtId="0" xfId="0" applyAlignment="1" applyBorder="1" applyFill="1" applyFont="1">
      <alignment horizontal="center" readingOrder="0" vertical="center"/>
    </xf>
    <xf borderId="13" fillId="5" fontId="7" numFmtId="164" xfId="0" applyAlignment="1" applyBorder="1" applyFill="1" applyFont="1" applyNumberFormat="1">
      <alignment horizontal="right" vertical="center"/>
    </xf>
    <xf borderId="13" fillId="0" fontId="7" numFmtId="3" xfId="0" applyAlignment="1" applyBorder="1" applyFont="1" applyNumberFormat="1">
      <alignment horizontal="center" vertical="center"/>
    </xf>
    <xf borderId="13" fillId="0" fontId="7" numFmtId="164" xfId="0" applyAlignment="1" applyBorder="1" applyFont="1" applyNumberFormat="1">
      <alignment horizontal="right" readingOrder="0" vertical="center"/>
    </xf>
    <xf borderId="13" fillId="3" fontId="13" numFmtId="0" xfId="0" applyAlignment="1" applyBorder="1" applyFill="1" applyFont="1">
      <alignment horizontal="left" readingOrder="0" vertical="center"/>
    </xf>
    <xf borderId="15" fillId="5" fontId="14" numFmtId="0" xfId="0" applyAlignment="1" applyBorder="1" applyFill="1" applyFont="1">
      <alignment horizontal="right" readingOrder="0" vertical="center"/>
    </xf>
    <xf borderId="15" fillId="5" fontId="4" numFmtId="0" xfId="0" applyBorder="1" applyFill="1" applyFont="1"/>
    <xf borderId="15" fillId="5" fontId="11" numFmtId="164" xfId="0" applyAlignment="1" applyBorder="1" applyFill="1" applyFont="1" applyNumberFormat="1">
      <alignment horizontal="right" vertical="center"/>
    </xf>
    <xf borderId="15" fillId="0" fontId="11" numFmtId="164" xfId="0" applyAlignment="1" applyBorder="1" applyFont="1" applyNumberFormat="1">
      <alignment horizontal="right" vertical="center"/>
    </xf>
    <xf borderId="15" fillId="0" fontId="11" numFmtId="3" xfId="0" applyAlignment="1" applyBorder="1" applyFont="1" applyNumberFormat="1">
      <alignment horizontal="center" vertical="center"/>
    </xf>
    <xf borderId="16" fillId="0" fontId="11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3.63"/>
    <col customWidth="1" min="2" max="2" width="6.38"/>
    <col customWidth="1" min="3" max="3" width="21.38"/>
    <col customWidth="1" min="5" max="5" width="15.75"/>
    <col customWidth="1" min="6" max="6" width="17.63"/>
    <col customWidth="1" min="7" max="22" width="12.0"/>
    <col customWidth="1" min="23" max="23" width="15.75"/>
  </cols>
  <sheetData>
    <row r="1">
      <c r="A1" s="1"/>
    </row>
    <row r="2" ht="33.0" customHeight="1">
      <c r="B2" s="2" t="s">
        <v>0</v>
      </c>
      <c r="W2" s="3"/>
    </row>
    <row r="3" ht="19.5" customHeight="1">
      <c r="B3" s="4" t="s">
        <v>1</v>
      </c>
      <c r="C3" s="5"/>
      <c r="D3" s="5"/>
      <c r="E3" s="5"/>
      <c r="F3" s="6"/>
      <c r="G3" s="4" t="s">
        <v>2</v>
      </c>
      <c r="H3" s="5"/>
      <c r="I3" s="5"/>
      <c r="J3" s="6"/>
      <c r="K3" s="4" t="s">
        <v>3</v>
      </c>
      <c r="L3" s="5"/>
      <c r="M3" s="5"/>
      <c r="N3" s="6"/>
      <c r="O3" s="4" t="s">
        <v>4</v>
      </c>
      <c r="P3" s="5"/>
      <c r="Q3" s="5"/>
      <c r="R3" s="5"/>
      <c r="S3" s="5"/>
      <c r="T3" s="5"/>
      <c r="U3" s="5"/>
      <c r="V3" s="6"/>
      <c r="W3" s="7"/>
    </row>
    <row r="4" ht="19.5" customHeight="1">
      <c r="B4" s="8">
        <f>COUNTA(C8:C44)</f>
        <v>37</v>
      </c>
      <c r="F4" s="9"/>
      <c r="G4" s="8">
        <f>COUNTIF(F8:F44, "Leader") + COUNTIF(F8:F44, "Co-Leader") + COUNTIF(F8:F44, "QTV")</f>
        <v>7</v>
      </c>
      <c r="J4" s="9"/>
      <c r="K4" s="8">
        <f>COUNTIF(G8:G44, "Thành viên")</f>
        <v>0</v>
      </c>
      <c r="N4" s="9"/>
      <c r="O4" s="10">
        <f>SUM(V8:V44)</f>
        <v>1850000</v>
      </c>
      <c r="V4" s="9"/>
      <c r="W4" s="11"/>
    </row>
    <row r="5" ht="19.5" customHeight="1">
      <c r="B5" s="12"/>
      <c r="C5" s="13"/>
      <c r="D5" s="13"/>
      <c r="E5" s="13"/>
      <c r="F5" s="14"/>
      <c r="G5" s="12"/>
      <c r="H5" s="13"/>
      <c r="I5" s="13"/>
      <c r="J5" s="14"/>
      <c r="K5" s="12"/>
      <c r="L5" s="13"/>
      <c r="M5" s="13"/>
      <c r="N5" s="14"/>
      <c r="O5" s="12"/>
      <c r="P5" s="13"/>
      <c r="Q5" s="13"/>
      <c r="R5" s="13"/>
      <c r="S5" s="13"/>
      <c r="T5" s="13"/>
      <c r="U5" s="13"/>
      <c r="V5" s="14"/>
      <c r="W5" s="11"/>
    </row>
    <row r="6" ht="12.0" customHeight="1"/>
    <row r="7" ht="24.0" customHeight="1">
      <c r="B7" s="15" t="s">
        <v>5</v>
      </c>
      <c r="C7" s="16" t="s">
        <v>6</v>
      </c>
      <c r="D7" s="17" t="s">
        <v>7</v>
      </c>
      <c r="E7" s="16" t="s">
        <v>8</v>
      </c>
      <c r="F7" s="18" t="s">
        <v>9</v>
      </c>
      <c r="G7" s="18" t="s">
        <v>10</v>
      </c>
      <c r="H7" s="18" t="s">
        <v>11</v>
      </c>
      <c r="I7" s="18" t="s">
        <v>12</v>
      </c>
      <c r="J7" s="18" t="s">
        <v>13</v>
      </c>
      <c r="K7" s="18" t="s">
        <v>14</v>
      </c>
      <c r="L7" s="18" t="s">
        <v>15</v>
      </c>
      <c r="M7" s="17" t="s">
        <v>16</v>
      </c>
      <c r="N7" s="17" t="s">
        <v>17</v>
      </c>
      <c r="O7" s="19" t="s">
        <v>18</v>
      </c>
      <c r="P7" s="19" t="s">
        <v>19</v>
      </c>
      <c r="Q7" s="19" t="s">
        <v>20</v>
      </c>
      <c r="R7" s="19" t="s">
        <v>21</v>
      </c>
      <c r="S7" s="19" t="s">
        <v>22</v>
      </c>
      <c r="T7" s="19" t="s">
        <v>23</v>
      </c>
      <c r="U7" s="19" t="s">
        <v>24</v>
      </c>
      <c r="V7" s="20" t="s">
        <v>25</v>
      </c>
    </row>
    <row r="8" ht="21.0" customHeight="1">
      <c r="B8" s="21">
        <v>1.0</v>
      </c>
      <c r="C8" s="22" t="s">
        <v>26</v>
      </c>
      <c r="D8" s="23" t="s">
        <v>27</v>
      </c>
      <c r="E8" s="24" t="str">
        <f>HYPERLINK("https://www.facebook.com/binh.ai.92351#", "Bình Bình")</f>
        <v>Bình Bình</v>
      </c>
      <c r="F8" s="25" t="s">
        <v>28</v>
      </c>
      <c r="G8" s="26"/>
      <c r="H8" s="26"/>
      <c r="I8" s="26"/>
      <c r="J8" s="26"/>
      <c r="K8" s="26"/>
      <c r="L8" s="26"/>
      <c r="M8" s="26"/>
      <c r="N8" s="26"/>
      <c r="O8" s="27"/>
      <c r="P8" s="28">
        <v>50000.0</v>
      </c>
      <c r="Q8" s="28">
        <v>50000.0</v>
      </c>
      <c r="R8" s="28">
        <v>50000.0</v>
      </c>
      <c r="S8" s="28"/>
      <c r="T8" s="28"/>
      <c r="U8" s="29"/>
      <c r="V8" s="30">
        <f t="shared" ref="V8:V44" si="1">SUM(G8:T8)</f>
        <v>150000</v>
      </c>
    </row>
    <row r="9" ht="21.0" customHeight="1">
      <c r="B9" s="31">
        <v>2.0</v>
      </c>
      <c r="C9" s="32" t="s">
        <v>29</v>
      </c>
      <c r="D9" s="33" t="s">
        <v>30</v>
      </c>
      <c r="E9" s="34" t="str">
        <f>HYPERLINK("https://www.facebook.com/minh.anh.120999#", "Minh Ánh")</f>
        <v>Minh Ánh</v>
      </c>
      <c r="F9" s="35" t="s">
        <v>31</v>
      </c>
      <c r="G9" s="36"/>
      <c r="H9" s="36"/>
      <c r="I9" s="36"/>
      <c r="J9" s="36"/>
      <c r="K9" s="36"/>
      <c r="L9" s="36"/>
      <c r="M9" s="36"/>
      <c r="N9" s="36"/>
      <c r="O9" s="27"/>
      <c r="P9" s="28">
        <v>50000.0</v>
      </c>
      <c r="Q9" s="27"/>
      <c r="R9" s="27"/>
      <c r="S9" s="27"/>
      <c r="T9" s="27"/>
      <c r="U9" s="37"/>
      <c r="V9" s="30">
        <f t="shared" si="1"/>
        <v>50000</v>
      </c>
    </row>
    <row r="10" ht="21.0" customHeight="1">
      <c r="B10" s="21">
        <v>3.0</v>
      </c>
      <c r="C10" s="22" t="s">
        <v>32</v>
      </c>
      <c r="D10" s="23" t="s">
        <v>33</v>
      </c>
      <c r="E10" s="24" t="str">
        <f>HYPERLINK("https://www.facebook.com/tran.tien.594715#", "Trần Tiến")</f>
        <v>Trần Tiến</v>
      </c>
      <c r="F10" s="25" t="s">
        <v>31</v>
      </c>
      <c r="G10" s="26"/>
      <c r="H10" s="26"/>
      <c r="I10" s="26"/>
      <c r="J10" s="26"/>
      <c r="K10" s="26"/>
      <c r="L10" s="26"/>
      <c r="M10" s="26"/>
      <c r="N10" s="26"/>
      <c r="O10" s="27"/>
      <c r="P10" s="28">
        <v>50000.0</v>
      </c>
      <c r="Q10" s="28">
        <v>50000.0</v>
      </c>
      <c r="R10" s="28">
        <v>50000.0</v>
      </c>
      <c r="S10" s="28"/>
      <c r="T10" s="28"/>
      <c r="U10" s="29"/>
      <c r="V10" s="30">
        <f t="shared" si="1"/>
        <v>150000</v>
      </c>
    </row>
    <row r="11" ht="21.0" customHeight="1">
      <c r="B11" s="31">
        <v>4.0</v>
      </c>
      <c r="C11" s="32" t="s">
        <v>34</v>
      </c>
      <c r="D11" s="33" t="s">
        <v>35</v>
      </c>
      <c r="E11" s="34" t="str">
        <f>HYPERLINK("https://www.facebook.com/dangdai.272000#", "Đăng Đại")</f>
        <v>Đăng Đại</v>
      </c>
      <c r="F11" s="35" t="s">
        <v>36</v>
      </c>
      <c r="G11" s="36"/>
      <c r="H11" s="36"/>
      <c r="I11" s="36"/>
      <c r="J11" s="36"/>
      <c r="K11" s="36"/>
      <c r="L11" s="36"/>
      <c r="M11" s="36"/>
      <c r="N11" s="36"/>
      <c r="O11" s="27"/>
      <c r="P11" s="28">
        <v>50000.0</v>
      </c>
      <c r="Q11" s="28">
        <v>50000.0</v>
      </c>
      <c r="R11" s="28">
        <v>50000.0</v>
      </c>
      <c r="S11" s="28"/>
      <c r="T11" s="28"/>
      <c r="U11" s="29"/>
      <c r="V11" s="30">
        <f t="shared" si="1"/>
        <v>150000</v>
      </c>
    </row>
    <row r="12" ht="21.0" customHeight="1">
      <c r="B12" s="21">
        <v>5.0</v>
      </c>
      <c r="C12" s="22" t="s">
        <v>37</v>
      </c>
      <c r="D12" s="23" t="s">
        <v>38</v>
      </c>
      <c r="E12" s="24" t="str">
        <f>HYPERLINK("https://www.facebook.com/bemie1610#", "Ngọc Trâm")</f>
        <v>Ngọc Trâm</v>
      </c>
      <c r="F12" s="25" t="s">
        <v>36</v>
      </c>
      <c r="G12" s="26"/>
      <c r="H12" s="26"/>
      <c r="I12" s="26"/>
      <c r="J12" s="26"/>
      <c r="K12" s="26"/>
      <c r="L12" s="26"/>
      <c r="M12" s="26"/>
      <c r="N12" s="26"/>
      <c r="O12" s="27"/>
      <c r="P12" s="28">
        <v>50000.0</v>
      </c>
      <c r="Q12" s="27"/>
      <c r="R12" s="27"/>
      <c r="S12" s="27"/>
      <c r="T12" s="27"/>
      <c r="U12" s="37"/>
      <c r="V12" s="30">
        <f t="shared" si="1"/>
        <v>50000</v>
      </c>
    </row>
    <row r="13" ht="21.0" customHeight="1">
      <c r="B13" s="31">
        <v>6.0</v>
      </c>
      <c r="C13" s="32" t="s">
        <v>39</v>
      </c>
      <c r="D13" s="33" t="s">
        <v>40</v>
      </c>
      <c r="E13" s="34" t="str">
        <f>HYPERLINK("https://www.facebook.com/mi2604#", "Huỳnh Thị Mỹ Hà")</f>
        <v>Huỳnh Thị Mỹ Hà</v>
      </c>
      <c r="F13" s="35" t="s">
        <v>36</v>
      </c>
      <c r="G13" s="36"/>
      <c r="H13" s="36"/>
      <c r="I13" s="36"/>
      <c r="J13" s="36"/>
      <c r="K13" s="36"/>
      <c r="L13" s="36"/>
      <c r="M13" s="36"/>
      <c r="N13" s="36"/>
      <c r="O13" s="27"/>
      <c r="P13" s="28">
        <v>50000.0</v>
      </c>
      <c r="Q13" s="28">
        <v>50000.0</v>
      </c>
      <c r="R13" s="27"/>
      <c r="S13" s="27"/>
      <c r="T13" s="27"/>
      <c r="U13" s="37"/>
      <c r="V13" s="30">
        <f t="shared" si="1"/>
        <v>100000</v>
      </c>
    </row>
    <row r="14" ht="21.0" customHeight="1">
      <c r="B14" s="21">
        <v>7.0</v>
      </c>
      <c r="C14" s="22" t="s">
        <v>41</v>
      </c>
      <c r="D14" s="23" t="s">
        <v>42</v>
      </c>
      <c r="E14" s="24" t="str">
        <f>HYPERLINK("https://www.facebook.com/chongchithiunang/", "Trọng Trí")</f>
        <v>Trọng Trí</v>
      </c>
      <c r="F14" s="25" t="s">
        <v>36</v>
      </c>
      <c r="G14" s="26"/>
      <c r="H14" s="26"/>
      <c r="I14" s="26"/>
      <c r="J14" s="26"/>
      <c r="K14" s="26"/>
      <c r="L14" s="26"/>
      <c r="M14" s="26"/>
      <c r="N14" s="26"/>
      <c r="O14" s="27"/>
      <c r="P14" s="38">
        <v>50000.0</v>
      </c>
      <c r="Q14" s="27"/>
      <c r="R14" s="27"/>
      <c r="S14" s="27"/>
      <c r="T14" s="27"/>
      <c r="U14" s="37"/>
      <c r="V14" s="30">
        <f t="shared" si="1"/>
        <v>50000</v>
      </c>
    </row>
    <row r="15" ht="21.0" customHeight="1">
      <c r="B15" s="31">
        <v>8.0</v>
      </c>
      <c r="C15" s="32" t="s">
        <v>43</v>
      </c>
      <c r="D15" s="33" t="s">
        <v>44</v>
      </c>
      <c r="E15" s="34" t="str">
        <f>HYPERLINK("https://www.facebook.com/angvanuc.226218#", "Đặng Văn Đức")</f>
        <v>Đặng Văn Đức</v>
      </c>
      <c r="F15" s="35" t="s">
        <v>45</v>
      </c>
      <c r="G15" s="36"/>
      <c r="H15" s="36"/>
      <c r="I15" s="36"/>
      <c r="J15" s="36"/>
      <c r="K15" s="36"/>
      <c r="L15" s="36"/>
      <c r="M15" s="36"/>
      <c r="N15" s="36"/>
      <c r="O15" s="27"/>
      <c r="P15" s="28">
        <v>50000.0</v>
      </c>
      <c r="Q15" s="28">
        <v>50000.0</v>
      </c>
      <c r="R15" s="27"/>
      <c r="S15" s="27"/>
      <c r="T15" s="27"/>
      <c r="U15" s="37"/>
      <c r="V15" s="30">
        <f t="shared" si="1"/>
        <v>100000</v>
      </c>
    </row>
    <row r="16" ht="21.0" customHeight="1">
      <c r="B16" s="21">
        <v>9.0</v>
      </c>
      <c r="C16" s="22" t="s">
        <v>46</v>
      </c>
      <c r="D16" s="23" t="s">
        <v>47</v>
      </c>
      <c r="E16" s="24" t="str">
        <f>HYPERLINK("https://www.facebook.com/profile.php?id=100071544371159#", "Táo Gaming")</f>
        <v>Táo Gaming</v>
      </c>
      <c r="F16" s="25" t="s">
        <v>45</v>
      </c>
      <c r="G16" s="26"/>
      <c r="H16" s="26"/>
      <c r="I16" s="26"/>
      <c r="J16" s="26"/>
      <c r="K16" s="26"/>
      <c r="L16" s="26"/>
      <c r="M16" s="26"/>
      <c r="N16" s="26"/>
      <c r="O16" s="27"/>
      <c r="P16" s="28">
        <v>50000.0</v>
      </c>
      <c r="Q16" s="27"/>
      <c r="R16" s="27"/>
      <c r="S16" s="27"/>
      <c r="T16" s="27"/>
      <c r="U16" s="37"/>
      <c r="V16" s="30">
        <f t="shared" si="1"/>
        <v>50000</v>
      </c>
    </row>
    <row r="17" ht="21.0" customHeight="1">
      <c r="B17" s="31">
        <v>10.0</v>
      </c>
      <c r="C17" s="32" t="s">
        <v>48</v>
      </c>
      <c r="D17" s="33" t="s">
        <v>49</v>
      </c>
      <c r="E17" s="34" t="str">
        <f>HYPERLINK("https://www.facebook.com/laivietduong#", "Lại Viết Dương")</f>
        <v>Lại Viết Dương</v>
      </c>
      <c r="F17" s="35" t="s">
        <v>45</v>
      </c>
      <c r="G17" s="36"/>
      <c r="H17" s="36"/>
      <c r="I17" s="36"/>
      <c r="J17" s="36"/>
      <c r="K17" s="36"/>
      <c r="L17" s="36"/>
      <c r="M17" s="36"/>
      <c r="N17" s="36"/>
      <c r="O17" s="27"/>
      <c r="P17" s="27"/>
      <c r="Q17" s="27"/>
      <c r="R17" s="27"/>
      <c r="S17" s="27"/>
      <c r="T17" s="27"/>
      <c r="U17" s="37"/>
      <c r="V17" s="30">
        <f t="shared" si="1"/>
        <v>0</v>
      </c>
    </row>
    <row r="18" ht="21.0" customHeight="1">
      <c r="B18" s="21">
        <v>11.0</v>
      </c>
      <c r="C18" s="22" t="s">
        <v>50</v>
      </c>
      <c r="D18" s="23" t="s">
        <v>51</v>
      </c>
      <c r="E18" s="24" t="str">
        <f>HYPERLINK("https://www.facebook.com/profile.php?id=61587742926744#", "黄男")</f>
        <v>黄男</v>
      </c>
      <c r="F18" s="25" t="s">
        <v>45</v>
      </c>
      <c r="G18" s="26"/>
      <c r="H18" s="26"/>
      <c r="I18" s="26"/>
      <c r="J18" s="26"/>
      <c r="K18" s="26"/>
      <c r="L18" s="26"/>
      <c r="M18" s="26"/>
      <c r="N18" s="26"/>
      <c r="O18" s="27"/>
      <c r="P18" s="27"/>
      <c r="Q18" s="27"/>
      <c r="R18" s="27"/>
      <c r="S18" s="27"/>
      <c r="T18" s="27"/>
      <c r="U18" s="37"/>
      <c r="V18" s="30">
        <f t="shared" si="1"/>
        <v>0</v>
      </c>
    </row>
    <row r="19" ht="21.0" customHeight="1">
      <c r="B19" s="31">
        <v>12.0</v>
      </c>
      <c r="C19" s="32" t="s">
        <v>52</v>
      </c>
      <c r="D19" s="33" t="s">
        <v>53</v>
      </c>
      <c r="E19" s="34" t="str">
        <f>HYPERLINK("https://www.facebook.com/tungbachcutedapxedapquanhhotay#", "Bách Nguyễn")</f>
        <v>Bách Nguyễn</v>
      </c>
      <c r="F19" s="35" t="s">
        <v>45</v>
      </c>
      <c r="G19" s="36"/>
      <c r="H19" s="36"/>
      <c r="I19" s="36"/>
      <c r="J19" s="36"/>
      <c r="K19" s="36"/>
      <c r="L19" s="36"/>
      <c r="M19" s="36"/>
      <c r="N19" s="36"/>
      <c r="O19" s="27"/>
      <c r="P19" s="27"/>
      <c r="Q19" s="27"/>
      <c r="R19" s="27"/>
      <c r="S19" s="27"/>
      <c r="T19" s="27"/>
      <c r="U19" s="37"/>
      <c r="V19" s="30">
        <f t="shared" si="1"/>
        <v>0</v>
      </c>
    </row>
    <row r="20" ht="21.0" customHeight="1">
      <c r="B20" s="21">
        <v>13.0</v>
      </c>
      <c r="C20" s="22" t="s">
        <v>54</v>
      </c>
      <c r="D20" s="23" t="s">
        <v>55</v>
      </c>
      <c r="E20" s="24" t="str">
        <f>HYPERLINK("https://www.facebook.com/trung.giang.524#", "Lê Giang Trung")</f>
        <v>Lê Giang Trung</v>
      </c>
      <c r="F20" s="25" t="s">
        <v>45</v>
      </c>
      <c r="G20" s="26"/>
      <c r="H20" s="26"/>
      <c r="I20" s="26"/>
      <c r="J20" s="26"/>
      <c r="K20" s="26"/>
      <c r="L20" s="26"/>
      <c r="M20" s="26"/>
      <c r="N20" s="26"/>
      <c r="O20" s="27"/>
      <c r="P20" s="27"/>
      <c r="Q20" s="27"/>
      <c r="R20" s="27"/>
      <c r="S20" s="27"/>
      <c r="T20" s="27"/>
      <c r="U20" s="37"/>
      <c r="V20" s="30">
        <f t="shared" si="1"/>
        <v>0</v>
      </c>
    </row>
    <row r="21" ht="21.0" customHeight="1">
      <c r="B21" s="31">
        <v>14.0</v>
      </c>
      <c r="C21" s="32" t="s">
        <v>56</v>
      </c>
      <c r="D21" s="33" t="s">
        <v>57</v>
      </c>
      <c r="E21" s="34" t="str">
        <f>HYPERLINK("https://www.facebook.com/ly.vo.72395#", "Ly Võ")</f>
        <v>Ly Võ</v>
      </c>
      <c r="F21" s="35" t="s">
        <v>45</v>
      </c>
      <c r="G21" s="36"/>
      <c r="H21" s="36"/>
      <c r="I21" s="36"/>
      <c r="J21" s="36"/>
      <c r="K21" s="36"/>
      <c r="L21" s="36"/>
      <c r="M21" s="36"/>
      <c r="N21" s="36"/>
      <c r="O21" s="27"/>
      <c r="P21" s="28">
        <v>50000.0</v>
      </c>
      <c r="Q21" s="27"/>
      <c r="R21" s="27"/>
      <c r="S21" s="27"/>
      <c r="T21" s="27"/>
      <c r="U21" s="37"/>
      <c r="V21" s="30">
        <f t="shared" si="1"/>
        <v>50000</v>
      </c>
    </row>
    <row r="22" ht="21.0" customHeight="1">
      <c r="B22" s="21">
        <v>15.0</v>
      </c>
      <c r="C22" s="22" t="s">
        <v>58</v>
      </c>
      <c r="D22" s="23" t="s">
        <v>59</v>
      </c>
      <c r="E22" s="24" t="str">
        <f>HYPERLINK("https://www.facebook.com/dangvantan210924#", "Văn Tấn")</f>
        <v>Văn Tấn</v>
      </c>
      <c r="F22" s="25" t="s">
        <v>45</v>
      </c>
      <c r="G22" s="26"/>
      <c r="H22" s="26"/>
      <c r="I22" s="26"/>
      <c r="J22" s="26"/>
      <c r="K22" s="26"/>
      <c r="L22" s="26"/>
      <c r="M22" s="26"/>
      <c r="N22" s="26"/>
      <c r="O22" s="27"/>
      <c r="P22" s="28">
        <v>50000.0</v>
      </c>
      <c r="Q22" s="27"/>
      <c r="R22" s="27"/>
      <c r="S22" s="27"/>
      <c r="T22" s="27"/>
      <c r="U22" s="37"/>
      <c r="V22" s="30">
        <f t="shared" si="1"/>
        <v>50000</v>
      </c>
    </row>
    <row r="23" ht="21.0" customHeight="1">
      <c r="B23" s="31">
        <v>16.0</v>
      </c>
      <c r="C23" s="32" t="s">
        <v>60</v>
      </c>
      <c r="D23" s="33" t="s">
        <v>61</v>
      </c>
      <c r="E23" s="34" t="str">
        <f>HYPERLINK("https://www.facebook.com/huuphuoc.le.180#", "Bước Độc Hành")</f>
        <v>Bước Độc Hành</v>
      </c>
      <c r="F23" s="35" t="s">
        <v>45</v>
      </c>
      <c r="G23" s="36"/>
      <c r="H23" s="36"/>
      <c r="I23" s="36"/>
      <c r="J23" s="36"/>
      <c r="K23" s="36"/>
      <c r="L23" s="36"/>
      <c r="M23" s="36"/>
      <c r="N23" s="36"/>
      <c r="O23" s="27"/>
      <c r="P23" s="27"/>
      <c r="Q23" s="27"/>
      <c r="R23" s="27"/>
      <c r="S23" s="27"/>
      <c r="T23" s="27"/>
      <c r="U23" s="37"/>
      <c r="V23" s="30">
        <f t="shared" si="1"/>
        <v>0</v>
      </c>
    </row>
    <row r="24" ht="21.0" customHeight="1">
      <c r="B24" s="21">
        <v>17.0</v>
      </c>
      <c r="C24" s="22" t="s">
        <v>62</v>
      </c>
      <c r="D24" s="23" t="s">
        <v>63</v>
      </c>
      <c r="E24" s="24" t="str">
        <f>HYPERLINK("https://www.facebook.com/VanChienhpw#", "Văn Chiến")</f>
        <v>Văn Chiến</v>
      </c>
      <c r="F24" s="25" t="s">
        <v>45</v>
      </c>
      <c r="G24" s="26"/>
      <c r="H24" s="26"/>
      <c r="I24" s="26"/>
      <c r="J24" s="26"/>
      <c r="K24" s="26"/>
      <c r="L24" s="26"/>
      <c r="M24" s="26"/>
      <c r="N24" s="26"/>
      <c r="O24" s="27"/>
      <c r="P24" s="28">
        <v>50000.0</v>
      </c>
      <c r="Q24" s="27"/>
      <c r="R24" s="27"/>
      <c r="S24" s="27"/>
      <c r="T24" s="27"/>
      <c r="U24" s="37"/>
      <c r="V24" s="30">
        <f t="shared" si="1"/>
        <v>50000</v>
      </c>
    </row>
    <row r="25" ht="21.0" customHeight="1">
      <c r="B25" s="31">
        <v>18.0</v>
      </c>
      <c r="C25" s="32" t="s">
        <v>64</v>
      </c>
      <c r="D25" s="33" t="s">
        <v>65</v>
      </c>
      <c r="E25" s="34" t="str">
        <f>HYPERLINK("https://www.facebook.com/profile.php?id=61590245125298#", "Minh Huy")</f>
        <v>Minh Huy</v>
      </c>
      <c r="F25" s="35" t="s">
        <v>45</v>
      </c>
      <c r="G25" s="36"/>
      <c r="H25" s="36"/>
      <c r="I25" s="36"/>
      <c r="J25" s="36"/>
      <c r="K25" s="36"/>
      <c r="L25" s="36"/>
      <c r="M25" s="36"/>
      <c r="N25" s="36"/>
      <c r="O25" s="27"/>
      <c r="P25" s="28">
        <v>50000.0</v>
      </c>
      <c r="Q25" s="27"/>
      <c r="R25" s="27"/>
      <c r="S25" s="27"/>
      <c r="T25" s="27"/>
      <c r="U25" s="37"/>
      <c r="V25" s="30">
        <f t="shared" si="1"/>
        <v>50000</v>
      </c>
    </row>
    <row r="26" ht="21.0" customHeight="1">
      <c r="B26" s="21">
        <v>19.0</v>
      </c>
      <c r="C26" s="22" t="s">
        <v>66</v>
      </c>
      <c r="D26" s="23" t="s">
        <v>67</v>
      </c>
      <c r="E26" s="24" t="str">
        <f>HYPERLINK("https://www.facebook.com/hieuyanghook#", "Vũ Trọng Hiếu")</f>
        <v>Vũ Trọng Hiếu</v>
      </c>
      <c r="F26" s="25" t="s">
        <v>45</v>
      </c>
      <c r="G26" s="26"/>
      <c r="H26" s="26"/>
      <c r="I26" s="26"/>
      <c r="J26" s="26"/>
      <c r="K26" s="26"/>
      <c r="L26" s="26"/>
      <c r="M26" s="26"/>
      <c r="N26" s="26"/>
      <c r="O26" s="27"/>
      <c r="P26" s="27"/>
      <c r="Q26" s="27"/>
      <c r="R26" s="27"/>
      <c r="S26" s="27"/>
      <c r="T26" s="27"/>
      <c r="U26" s="37"/>
      <c r="V26" s="30">
        <f t="shared" si="1"/>
        <v>0</v>
      </c>
    </row>
    <row r="27" ht="21.0" customHeight="1">
      <c r="B27" s="31">
        <v>20.0</v>
      </c>
      <c r="C27" s="32" t="s">
        <v>68</v>
      </c>
      <c r="D27" s="33" t="s">
        <v>69</v>
      </c>
      <c r="E27" s="34" t="str">
        <f>HYPERLINK("https://www.facebook.com/gau.hung.7927#", "Trần.V. Hùng")</f>
        <v>Trần.V. Hùng</v>
      </c>
      <c r="F27" s="35" t="s">
        <v>45</v>
      </c>
      <c r="G27" s="36"/>
      <c r="H27" s="36"/>
      <c r="I27" s="36"/>
      <c r="J27" s="36"/>
      <c r="K27" s="36"/>
      <c r="L27" s="36"/>
      <c r="M27" s="36"/>
      <c r="N27" s="36"/>
      <c r="O27" s="27"/>
      <c r="P27" s="28">
        <v>50000.0</v>
      </c>
      <c r="Q27" s="27"/>
      <c r="R27" s="27"/>
      <c r="S27" s="27"/>
      <c r="T27" s="27"/>
      <c r="U27" s="37"/>
      <c r="V27" s="30">
        <f t="shared" si="1"/>
        <v>50000</v>
      </c>
    </row>
    <row r="28" ht="21.0" customHeight="1">
      <c r="B28" s="21">
        <v>21.0</v>
      </c>
      <c r="C28" s="22" t="s">
        <v>70</v>
      </c>
      <c r="D28" s="23" t="s">
        <v>71</v>
      </c>
      <c r="E28" s="24" t="str">
        <f>HYPERLINK("https://www.facebook.com/gia.huy.785534#", "Gia Huy")</f>
        <v>Gia Huy</v>
      </c>
      <c r="F28" s="25" t="s">
        <v>45</v>
      </c>
      <c r="G28" s="26"/>
      <c r="H28" s="26"/>
      <c r="I28" s="26"/>
      <c r="J28" s="26"/>
      <c r="K28" s="26"/>
      <c r="L28" s="26"/>
      <c r="M28" s="26"/>
      <c r="N28" s="26"/>
      <c r="O28" s="27"/>
      <c r="P28" s="28">
        <v>50000.0</v>
      </c>
      <c r="Q28" s="27"/>
      <c r="R28" s="27"/>
      <c r="S28" s="27"/>
      <c r="T28" s="27"/>
      <c r="U28" s="37"/>
      <c r="V28" s="30">
        <f t="shared" si="1"/>
        <v>50000</v>
      </c>
    </row>
    <row r="29" ht="21.0" customHeight="1">
      <c r="B29" s="31">
        <v>22.0</v>
      </c>
      <c r="C29" s="32" t="s">
        <v>72</v>
      </c>
      <c r="D29" s="33" t="s">
        <v>73</v>
      </c>
      <c r="E29" s="34" t="str">
        <f>HYPERLINK("https://www.facebook.com/khotinh.quang.7#", "JP チンスアンクアン")</f>
        <v>JP チンスアンクアン</v>
      </c>
      <c r="F29" s="35" t="s">
        <v>45</v>
      </c>
      <c r="G29" s="36"/>
      <c r="H29" s="36"/>
      <c r="I29" s="36"/>
      <c r="J29" s="36"/>
      <c r="K29" s="36"/>
      <c r="L29" s="36"/>
      <c r="M29" s="36"/>
      <c r="N29" s="36"/>
      <c r="O29" s="27"/>
      <c r="P29" s="27"/>
      <c r="Q29" s="27"/>
      <c r="R29" s="27"/>
      <c r="S29" s="27"/>
      <c r="T29" s="27"/>
      <c r="U29" s="37"/>
      <c r="V29" s="30">
        <f t="shared" si="1"/>
        <v>0</v>
      </c>
    </row>
    <row r="30" ht="21.0" customHeight="1">
      <c r="B30" s="21">
        <v>23.0</v>
      </c>
      <c r="C30" s="22" t="s">
        <v>74</v>
      </c>
      <c r="D30" s="23" t="s">
        <v>73</v>
      </c>
      <c r="E30" s="24" t="str">
        <f>HYPERLINK("https://www.facebook.com/ngn.mihn8t1#", "Minh Nguyễn")</f>
        <v>Minh Nguyễn</v>
      </c>
      <c r="F30" s="25" t="s">
        <v>45</v>
      </c>
      <c r="G30" s="26"/>
      <c r="H30" s="26"/>
      <c r="I30" s="26"/>
      <c r="J30" s="26"/>
      <c r="K30" s="26"/>
      <c r="L30" s="26"/>
      <c r="M30" s="26"/>
      <c r="N30" s="26"/>
      <c r="O30" s="27"/>
      <c r="P30" s="27"/>
      <c r="Q30" s="27"/>
      <c r="R30" s="27"/>
      <c r="S30" s="27"/>
      <c r="T30" s="27"/>
      <c r="U30" s="37"/>
      <c r="V30" s="30">
        <f t="shared" si="1"/>
        <v>0</v>
      </c>
    </row>
    <row r="31" ht="21.0" customHeight="1">
      <c r="B31" s="31">
        <v>24.0</v>
      </c>
      <c r="C31" s="32" t="s">
        <v>75</v>
      </c>
      <c r="D31" s="33" t="s">
        <v>76</v>
      </c>
      <c r="E31" s="34" t="str">
        <f>HYPERLINK("https://www.facebook.com/vu.hoang.979089#", "Vũ Hoàng")</f>
        <v>Vũ Hoàng</v>
      </c>
      <c r="F31" s="35" t="s">
        <v>45</v>
      </c>
      <c r="G31" s="36"/>
      <c r="H31" s="36"/>
      <c r="I31" s="36"/>
      <c r="J31" s="36"/>
      <c r="K31" s="36"/>
      <c r="L31" s="36"/>
      <c r="M31" s="36"/>
      <c r="N31" s="36"/>
      <c r="O31" s="27"/>
      <c r="P31" s="28">
        <v>50000.0</v>
      </c>
      <c r="Q31" s="27"/>
      <c r="R31" s="27"/>
      <c r="S31" s="27"/>
      <c r="T31" s="27"/>
      <c r="U31" s="37"/>
      <c r="V31" s="30">
        <f t="shared" si="1"/>
        <v>50000</v>
      </c>
    </row>
    <row r="32" ht="21.0" customHeight="1">
      <c r="B32" s="21">
        <v>25.0</v>
      </c>
      <c r="C32" s="22" t="s">
        <v>77</v>
      </c>
      <c r="D32" s="23" t="s">
        <v>78</v>
      </c>
      <c r="E32" s="24" t="str">
        <f>HYPERLINK("https://www.facebook.com/hoang.nguyen.992818#", "Hoàng Nguyễn")</f>
        <v>Hoàng Nguyễn</v>
      </c>
      <c r="F32" s="25" t="s">
        <v>45</v>
      </c>
      <c r="G32" s="26"/>
      <c r="H32" s="26"/>
      <c r="I32" s="26"/>
      <c r="J32" s="26"/>
      <c r="K32" s="26"/>
      <c r="L32" s="26"/>
      <c r="M32" s="26"/>
      <c r="N32" s="26"/>
      <c r="O32" s="27"/>
      <c r="P32" s="28">
        <v>50000.0</v>
      </c>
      <c r="Q32" s="28">
        <v>50000.0</v>
      </c>
      <c r="R32" s="27"/>
      <c r="S32" s="27"/>
      <c r="T32" s="27"/>
      <c r="U32" s="37"/>
      <c r="V32" s="30">
        <f t="shared" si="1"/>
        <v>100000</v>
      </c>
    </row>
    <row r="33" ht="21.0" customHeight="1">
      <c r="B33" s="31">
        <v>26.0</v>
      </c>
      <c r="C33" s="32" t="s">
        <v>79</v>
      </c>
      <c r="D33" s="33" t="s">
        <v>80</v>
      </c>
      <c r="E33" s="34" t="str">
        <f>HYPERLINK("https://www.facebook.com/cogang99999#", "Ka Ka")</f>
        <v>Ka Ka</v>
      </c>
      <c r="F33" s="35" t="s">
        <v>45</v>
      </c>
      <c r="G33" s="36"/>
      <c r="H33" s="36"/>
      <c r="I33" s="36"/>
      <c r="J33" s="36"/>
      <c r="K33" s="36"/>
      <c r="L33" s="36"/>
      <c r="M33" s="36"/>
      <c r="N33" s="36"/>
      <c r="O33" s="27"/>
      <c r="P33" s="28">
        <v>50000.0</v>
      </c>
      <c r="Q33" s="27"/>
      <c r="R33" s="27"/>
      <c r="S33" s="27"/>
      <c r="T33" s="27"/>
      <c r="U33" s="37"/>
      <c r="V33" s="30">
        <f t="shared" si="1"/>
        <v>50000</v>
      </c>
    </row>
    <row r="34" ht="21.0" customHeight="1">
      <c r="B34" s="21">
        <v>27.0</v>
      </c>
      <c r="C34" s="22" t="s">
        <v>81</v>
      </c>
      <c r="D34" s="23" t="s">
        <v>82</v>
      </c>
      <c r="E34" s="39" t="s">
        <v>83</v>
      </c>
      <c r="F34" s="25" t="s">
        <v>45</v>
      </c>
      <c r="G34" s="26"/>
      <c r="H34" s="26"/>
      <c r="I34" s="26"/>
      <c r="J34" s="26"/>
      <c r="K34" s="26"/>
      <c r="L34" s="26"/>
      <c r="M34" s="26"/>
      <c r="N34" s="26"/>
      <c r="O34" s="27"/>
      <c r="P34" s="27"/>
      <c r="Q34" s="27"/>
      <c r="R34" s="27"/>
      <c r="S34" s="27"/>
      <c r="T34" s="27"/>
      <c r="U34" s="37"/>
      <c r="V34" s="30">
        <f t="shared" si="1"/>
        <v>0</v>
      </c>
    </row>
    <row r="35" ht="21.0" customHeight="1">
      <c r="B35" s="31">
        <v>28.0</v>
      </c>
      <c r="C35" s="32" t="s">
        <v>84</v>
      </c>
      <c r="D35" s="33" t="s">
        <v>85</v>
      </c>
      <c r="E35" s="34" t="str">
        <f>HYPERLINK("https://www.facebook.com/van.truong.nguyen.783903#", "VăN TrưỜng NguyỄn")</f>
        <v>VăN TrưỜng NguyỄn</v>
      </c>
      <c r="F35" s="35" t="s">
        <v>45</v>
      </c>
      <c r="G35" s="36"/>
      <c r="H35" s="36"/>
      <c r="I35" s="36"/>
      <c r="J35" s="36"/>
      <c r="K35" s="36"/>
      <c r="L35" s="36"/>
      <c r="M35" s="36"/>
      <c r="N35" s="36"/>
      <c r="O35" s="27"/>
      <c r="P35" s="27"/>
      <c r="Q35" s="27"/>
      <c r="R35" s="27"/>
      <c r="S35" s="27"/>
      <c r="T35" s="27"/>
      <c r="U35" s="37"/>
      <c r="V35" s="30">
        <f t="shared" si="1"/>
        <v>0</v>
      </c>
    </row>
    <row r="36" ht="21.0" customHeight="1">
      <c r="B36" s="21">
        <v>29.0</v>
      </c>
      <c r="C36" s="22" t="s">
        <v>86</v>
      </c>
      <c r="D36" s="23" t="s">
        <v>87</v>
      </c>
      <c r="E36" s="24" t="str">
        <f>HYPERLINK("https://www.facebook.com/thai.cong.37819#", "Công Thái")</f>
        <v>Công Thái</v>
      </c>
      <c r="F36" s="25" t="s">
        <v>45</v>
      </c>
      <c r="G36" s="26"/>
      <c r="H36" s="26"/>
      <c r="I36" s="26"/>
      <c r="J36" s="26"/>
      <c r="K36" s="26"/>
      <c r="L36" s="26"/>
      <c r="M36" s="26"/>
      <c r="N36" s="26"/>
      <c r="O36" s="27"/>
      <c r="P36" s="28">
        <v>50000.0</v>
      </c>
      <c r="Q36" s="28">
        <v>50000.0</v>
      </c>
      <c r="R36" s="27"/>
      <c r="S36" s="27"/>
      <c r="T36" s="27"/>
      <c r="U36" s="37"/>
      <c r="V36" s="30">
        <f t="shared" si="1"/>
        <v>100000</v>
      </c>
    </row>
    <row r="37" ht="21.0" customHeight="1">
      <c r="B37" s="31">
        <v>30.0</v>
      </c>
      <c r="C37" s="32" t="s">
        <v>88</v>
      </c>
      <c r="D37" s="33" t="s">
        <v>89</v>
      </c>
      <c r="E37" s="34" t="str">
        <f>HYPERLINK("https://www.facebook.com/chung.nguyen.757666#", "Chung Nguyễn")</f>
        <v>Chung Nguyễn</v>
      </c>
      <c r="F37" s="35" t="s">
        <v>45</v>
      </c>
      <c r="G37" s="36"/>
      <c r="H37" s="36"/>
      <c r="I37" s="36"/>
      <c r="J37" s="36"/>
      <c r="K37" s="36"/>
      <c r="L37" s="36"/>
      <c r="M37" s="36"/>
      <c r="N37" s="36"/>
      <c r="O37" s="27"/>
      <c r="P37" s="28">
        <v>50000.0</v>
      </c>
      <c r="Q37" s="28">
        <v>50000.0</v>
      </c>
      <c r="R37" s="28">
        <v>50000.0</v>
      </c>
      <c r="S37" s="28"/>
      <c r="T37" s="28"/>
      <c r="U37" s="29"/>
      <c r="V37" s="30">
        <f t="shared" si="1"/>
        <v>150000</v>
      </c>
    </row>
    <row r="38" ht="21.0" customHeight="1">
      <c r="B38" s="21">
        <v>31.0</v>
      </c>
      <c r="C38" s="22" t="s">
        <v>90</v>
      </c>
      <c r="D38" s="23" t="s">
        <v>91</v>
      </c>
      <c r="E38" s="24" t="str">
        <f>HYPERLINK("https://www.facebook.com/garena.lienquan.7967#", "Bun's Duy's")</f>
        <v>Bun's Duy's</v>
      </c>
      <c r="F38" s="25" t="s">
        <v>45</v>
      </c>
      <c r="G38" s="26"/>
      <c r="H38" s="26"/>
      <c r="I38" s="26"/>
      <c r="J38" s="26"/>
      <c r="K38" s="26"/>
      <c r="L38" s="26"/>
      <c r="M38" s="26"/>
      <c r="N38" s="26"/>
      <c r="O38" s="27"/>
      <c r="P38" s="28">
        <v>50000.0</v>
      </c>
      <c r="Q38" s="27"/>
      <c r="R38" s="27"/>
      <c r="S38" s="27"/>
      <c r="T38" s="27"/>
      <c r="U38" s="37"/>
      <c r="V38" s="30">
        <f t="shared" si="1"/>
        <v>50000</v>
      </c>
    </row>
    <row r="39" ht="21.0" customHeight="1">
      <c r="B39" s="31">
        <v>32.0</v>
      </c>
      <c r="C39" s="32" t="s">
        <v>92</v>
      </c>
      <c r="D39" s="33" t="s">
        <v>93</v>
      </c>
      <c r="E39" s="34" t="str">
        <f>HYPERLINK("https://www.facebook.com/profile.php?id=61585575698118#", "Khải Nguyễn")</f>
        <v>Khải Nguyễn</v>
      </c>
      <c r="F39" s="35" t="s">
        <v>45</v>
      </c>
      <c r="G39" s="36"/>
      <c r="H39" s="36"/>
      <c r="I39" s="36"/>
      <c r="J39" s="36"/>
      <c r="K39" s="36"/>
      <c r="L39" s="36"/>
      <c r="M39" s="36"/>
      <c r="N39" s="36"/>
      <c r="O39" s="27"/>
      <c r="P39" s="28">
        <v>50000.0</v>
      </c>
      <c r="Q39" s="27"/>
      <c r="R39" s="27"/>
      <c r="S39" s="27"/>
      <c r="T39" s="27"/>
      <c r="U39" s="37"/>
      <c r="V39" s="30">
        <f t="shared" si="1"/>
        <v>50000</v>
      </c>
    </row>
    <row r="40" ht="21.0" customHeight="1">
      <c r="B40" s="21">
        <v>33.0</v>
      </c>
      <c r="C40" s="22" t="s">
        <v>94</v>
      </c>
      <c r="D40" s="23" t="s">
        <v>95</v>
      </c>
      <c r="E40" s="24" t="str">
        <f>HYPERLINK("https://www.facebook.com/villa.sanho#", "Linh Biển Số HN")</f>
        <v>Linh Biển Số HN</v>
      </c>
      <c r="F40" s="25" t="s">
        <v>45</v>
      </c>
      <c r="G40" s="26"/>
      <c r="H40" s="26"/>
      <c r="I40" s="26"/>
      <c r="J40" s="26"/>
      <c r="K40" s="26"/>
      <c r="L40" s="26"/>
      <c r="M40" s="26"/>
      <c r="N40" s="26"/>
      <c r="O40" s="27"/>
      <c r="P40" s="27"/>
      <c r="Q40" s="27"/>
      <c r="R40" s="27"/>
      <c r="S40" s="27"/>
      <c r="T40" s="27"/>
      <c r="U40" s="37"/>
      <c r="V40" s="30">
        <f t="shared" si="1"/>
        <v>0</v>
      </c>
    </row>
    <row r="41" ht="21.0" customHeight="1">
      <c r="B41" s="31">
        <v>34.0</v>
      </c>
      <c r="C41" s="32" t="s">
        <v>96</v>
      </c>
      <c r="D41" s="33" t="s">
        <v>97</v>
      </c>
      <c r="E41" s="34" t="str">
        <f>HYPERLINK("https://www.facebook.com/minhquan.vanphu.1#", "Văn Phú Minh Quân")</f>
        <v>Văn Phú Minh Quân</v>
      </c>
      <c r="F41" s="35" t="s">
        <v>45</v>
      </c>
      <c r="G41" s="36"/>
      <c r="H41" s="36"/>
      <c r="I41" s="36"/>
      <c r="J41" s="36"/>
      <c r="K41" s="36"/>
      <c r="L41" s="36"/>
      <c r="M41" s="36"/>
      <c r="N41" s="36"/>
      <c r="O41" s="27"/>
      <c r="P41" s="28">
        <v>50000.0</v>
      </c>
      <c r="Q41" s="27"/>
      <c r="R41" s="27"/>
      <c r="S41" s="27"/>
      <c r="T41" s="27"/>
      <c r="U41" s="37"/>
      <c r="V41" s="30">
        <f t="shared" si="1"/>
        <v>50000</v>
      </c>
    </row>
    <row r="42" ht="21.0" customHeight="1">
      <c r="B42" s="21">
        <v>35.0</v>
      </c>
      <c r="C42" s="22" t="s">
        <v>98</v>
      </c>
      <c r="D42" s="23" t="s">
        <v>99</v>
      </c>
      <c r="E42" s="24" t="str">
        <f>HYPERLINK("https://www.facebook.com/huycv123#", "Rùa Nhỏ")</f>
        <v>Rùa Nhỏ</v>
      </c>
      <c r="F42" s="25" t="s">
        <v>45</v>
      </c>
      <c r="G42" s="26"/>
      <c r="H42" s="26"/>
      <c r="I42" s="26"/>
      <c r="J42" s="26"/>
      <c r="K42" s="26"/>
      <c r="L42" s="26"/>
      <c r="M42" s="26"/>
      <c r="N42" s="26"/>
      <c r="O42" s="27"/>
      <c r="P42" s="28">
        <v>50000.0</v>
      </c>
      <c r="Q42" s="27"/>
      <c r="R42" s="27"/>
      <c r="S42" s="27"/>
      <c r="T42" s="27"/>
      <c r="U42" s="37"/>
      <c r="V42" s="30">
        <f t="shared" si="1"/>
        <v>50000</v>
      </c>
    </row>
    <row r="43" ht="21.0" customHeight="1">
      <c r="B43" s="31">
        <v>36.0</v>
      </c>
      <c r="C43" s="32" t="s">
        <v>100</v>
      </c>
      <c r="D43" s="33" t="s">
        <v>101</v>
      </c>
      <c r="E43" s="34" t="str">
        <f>HYPERLINK("https://www.facebook.com/qui.truong.9216778#", "Qui Trương")</f>
        <v>Qui Trương</v>
      </c>
      <c r="F43" s="35" t="s">
        <v>45</v>
      </c>
      <c r="G43" s="36"/>
      <c r="H43" s="36"/>
      <c r="I43" s="36"/>
      <c r="J43" s="36"/>
      <c r="K43" s="36"/>
      <c r="L43" s="36"/>
      <c r="M43" s="36"/>
      <c r="N43" s="36"/>
      <c r="O43" s="27"/>
      <c r="P43" s="28">
        <v>50000.0</v>
      </c>
      <c r="Q43" s="27"/>
      <c r="R43" s="27"/>
      <c r="S43" s="27"/>
      <c r="T43" s="27"/>
      <c r="U43" s="37"/>
      <c r="V43" s="30">
        <f t="shared" si="1"/>
        <v>50000</v>
      </c>
    </row>
    <row r="44" ht="21.0" customHeight="1">
      <c r="B44" s="21">
        <v>37.0</v>
      </c>
      <c r="C44" s="22" t="s">
        <v>102</v>
      </c>
      <c r="D44" s="23" t="s">
        <v>103</v>
      </c>
      <c r="E44" s="24" t="str">
        <f>HYPERLINK("https://www.facebook.com/profile.php?id=61587671575890#", "Ngô Thanh Thảo")</f>
        <v>Ngô Thanh Thảo</v>
      </c>
      <c r="F44" s="25" t="s">
        <v>45</v>
      </c>
      <c r="G44" s="26"/>
      <c r="H44" s="26"/>
      <c r="I44" s="26"/>
      <c r="J44" s="26"/>
      <c r="K44" s="26"/>
      <c r="L44" s="26"/>
      <c r="M44" s="26"/>
      <c r="N44" s="26"/>
      <c r="O44" s="27"/>
      <c r="P44" s="27"/>
      <c r="Q44" s="27"/>
      <c r="R44" s="27"/>
      <c r="S44" s="27"/>
      <c r="T44" s="27"/>
      <c r="U44" s="37"/>
      <c r="V44" s="30">
        <f t="shared" si="1"/>
        <v>0</v>
      </c>
    </row>
    <row r="45" ht="21.0" customHeight="1">
      <c r="B45" s="40" t="s">
        <v>104</v>
      </c>
      <c r="C45" s="41"/>
      <c r="D45" s="41"/>
      <c r="E45" s="41"/>
      <c r="F45" s="41"/>
      <c r="G45" s="42">
        <f t="shared" ref="G45:V45" si="2">SUM(G8:G44)</f>
        <v>0</v>
      </c>
      <c r="H45" s="42">
        <f t="shared" si="2"/>
        <v>0</v>
      </c>
      <c r="I45" s="42">
        <f t="shared" si="2"/>
        <v>0</v>
      </c>
      <c r="J45" s="42">
        <f t="shared" si="2"/>
        <v>0</v>
      </c>
      <c r="K45" s="42">
        <f t="shared" si="2"/>
        <v>0</v>
      </c>
      <c r="L45" s="42">
        <f t="shared" si="2"/>
        <v>0</v>
      </c>
      <c r="M45" s="42">
        <f t="shared" si="2"/>
        <v>0</v>
      </c>
      <c r="N45" s="42">
        <f t="shared" si="2"/>
        <v>0</v>
      </c>
      <c r="O45" s="43">
        <f t="shared" si="2"/>
        <v>0</v>
      </c>
      <c r="P45" s="43">
        <f t="shared" si="2"/>
        <v>1250000</v>
      </c>
      <c r="Q45" s="43">
        <f t="shared" si="2"/>
        <v>400000</v>
      </c>
      <c r="R45" s="43">
        <f t="shared" si="2"/>
        <v>200000</v>
      </c>
      <c r="S45" s="43">
        <f t="shared" si="2"/>
        <v>0</v>
      </c>
      <c r="T45" s="43">
        <f t="shared" si="2"/>
        <v>0</v>
      </c>
      <c r="U45" s="44">
        <f t="shared" si="2"/>
        <v>0</v>
      </c>
      <c r="V45" s="45">
        <f t="shared" si="2"/>
        <v>1850000</v>
      </c>
    </row>
  </sheetData>
  <mergeCells count="10">
    <mergeCell ref="K4:N5"/>
    <mergeCell ref="B3:F3"/>
    <mergeCell ref="G3:J3"/>
    <mergeCell ref="K3:N3"/>
    <mergeCell ref="B4:F5"/>
    <mergeCell ref="G4:J5"/>
    <mergeCell ref="B45:F45"/>
    <mergeCell ref="B2:V2"/>
    <mergeCell ref="O3:V3"/>
    <mergeCell ref="O4:V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